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uração Jan-Jul" sheetId="1" r:id="rId1"/>
    <sheet name="Adições e Exclusões" sheetId="2" r:id="rId2"/>
    <sheet name="Memória DR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;[Red]-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58.83203125" customWidth="1"/>
    <col min="2" max="2" width="28.83203125" customWidth="1"/>
  </cols>
  <sheetData>
    <row r="1">
      <c r="A1" t="str">
        <v>LALUR / LACS — Balanço de Suspensão ou Redução</v>
      </c>
    </row>
    <row r="2">
      <c r="A2" t="str">
        <v>Empresa</v>
      </c>
      <c r="B2" t="str">
        <v>Nitaplast Indústria e Comércio de Plásticos Industriais Ltda.</v>
      </c>
    </row>
    <row r="3">
      <c r="A3" t="str">
        <v>Período acumulado</v>
      </c>
      <c r="B3" t="str">
        <v>01/01/2026 a 31/07/2026</v>
      </c>
    </row>
    <row r="4">
      <c r="A4" t="str">
        <v>Critério</v>
      </c>
      <c r="B4" t="str">
        <v>Lucro Real acumulado — valores extraídos do mesmo motor da DRE/LALUR</v>
      </c>
    </row>
    <row r="6">
      <c r="A6" t="str">
        <v>Lucro contábil acumulado janeiro a junho</v>
      </c>
      <c r="B6" s="1">
        <v>707721.59</v>
      </c>
    </row>
    <row r="7">
      <c r="A7" t="str">
        <v>(+) Resultado contábil de julho</v>
      </c>
      <c r="B7" s="1">
        <v>128172.33</v>
      </c>
    </row>
    <row r="8">
      <c r="A8" t="str">
        <v>(=) Lucro contábil acumulado janeiro a julho</v>
      </c>
      <c r="B8" s="1">
        <f>B6+B7</f>
        <v>835893.92</v>
      </c>
    </row>
    <row r="9">
      <c r="A9" t="str">
        <v>(+) Adições acumuladas janeiro a junho</v>
      </c>
      <c r="B9" s="1">
        <v>13072.59</v>
      </c>
    </row>
    <row r="10">
      <c r="A10" t="str">
        <v>(+) Adições de julho registradas no LALUR</v>
      </c>
      <c r="B10" s="1">
        <v>0</v>
      </c>
    </row>
    <row r="11">
      <c r="A11" t="str">
        <v>(-) Exclusões acumuladas janeiro a junho</v>
      </c>
      <c r="B11" s="1">
        <v>23650.14</v>
      </c>
    </row>
    <row r="12">
      <c r="A12" t="str">
        <v>(-) Exclusões de julho registradas no LALUR</v>
      </c>
      <c r="B12" s="1">
        <v>0</v>
      </c>
    </row>
    <row r="13">
      <c r="A13" t="str">
        <v>(=) Lucro Real / Base IRPJ e CSLL</v>
      </c>
      <c r="B13" s="1">
        <f>B8+B9+B10-B11-B12</f>
        <v>825316.37</v>
      </c>
    </row>
    <row r="15">
      <c r="A15" t="str">
        <v>IRPJ normal — 15%</v>
      </c>
      <c r="B15" s="1">
        <f>MAX(0,B13*15%)</f>
        <v>123797.46</v>
      </c>
    </row>
    <row r="16">
      <c r="A16" t="str">
        <v>Limite do adicional — R$ 20.000 × 7 meses</v>
      </c>
      <c r="B16" s="1">
        <v>140000</v>
      </c>
    </row>
    <row r="17">
      <c r="A17" t="str">
        <v>Base excedente do adicional</v>
      </c>
      <c r="B17" s="1">
        <f>MAX(0,B13-B16)</f>
        <v>685316.37</v>
      </c>
    </row>
    <row r="18">
      <c r="A18" t="str">
        <v>Adicional de IRPJ — 10%</v>
      </c>
      <c r="B18" s="1">
        <f>B17*10%</f>
        <v>68531.64</v>
      </c>
    </row>
    <row r="19">
      <c r="A19" t="str">
        <v>IRPJ devido acumulado</v>
      </c>
      <c r="B19" s="1">
        <f>B15+B18</f>
        <v>192329.1</v>
      </c>
    </row>
    <row r="20">
      <c r="A20" t="str">
        <v>(-) Estimativas de IRPJ pagas até junho</v>
      </c>
      <c r="B20" s="1">
        <v>141538.07</v>
      </c>
    </row>
    <row r="21">
      <c r="A21" t="str">
        <v>(-) IRRF compensável janeiro a junho</v>
      </c>
      <c r="B21" s="1">
        <v>20747.94</v>
      </c>
    </row>
    <row r="22">
      <c r="A22" t="str">
        <v>(-) IRRF compensável de julho</v>
      </c>
      <c r="B22" s="1">
        <v>555.38</v>
      </c>
    </row>
    <row r="23">
      <c r="A23" t="str">
        <v>(=) IRPJ a pagar em julho</v>
      </c>
      <c r="B23" s="1">
        <f>MAX(0,B19-B20-B21-B22)</f>
        <v>29487.71</v>
      </c>
    </row>
    <row r="25">
      <c r="A25" t="str">
        <v>CSLL devida acumulada — 9%</v>
      </c>
      <c r="B25" s="1">
        <f>MAX(0,B13*9%)</f>
        <v>74278.47</v>
      </c>
    </row>
    <row r="26">
      <c r="A26" t="str">
        <v>(-) Estimativas de CSLL pagas até junho</v>
      </c>
      <c r="B26" s="1">
        <v>62742.96</v>
      </c>
    </row>
    <row r="27">
      <c r="A27" t="str">
        <v>(=) CSLL a pagar em julho</v>
      </c>
      <c r="B27" s="1">
        <f>MAX(0,B25-B26)</f>
        <v>11535.51</v>
      </c>
    </row>
    <row r="29">
      <c r="A29" t="str">
        <v>Total IRPJ + CSLL a pagar</v>
      </c>
      <c r="B29" s="1">
        <f>B23+B27</f>
        <v>41023.22</v>
      </c>
    </row>
  </sheetData>
  <ignoredErrors>
    <ignoredError numberStoredAsText="1" sqref="A1:B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2.83203125" customWidth="1"/>
    <col min="2" max="2" width="18.83203125" customWidth="1"/>
    <col min="3" max="3" width="18.83203125" customWidth="1"/>
    <col min="4" max="4" width="62.83203125" customWidth="1"/>
  </cols>
  <sheetData>
    <row r="1">
      <c r="A1" t="str">
        <v>Ajustes do LALUR/LACS</v>
      </c>
      <c r="B1" t="str">
        <v>IRPJ</v>
      </c>
      <c r="C1" t="str">
        <v>CSLL</v>
      </c>
      <c r="D1" t="str">
        <v>Situação / fonte</v>
      </c>
    </row>
    <row r="2">
      <c r="A2" t="str">
        <v>Adições acumuladas janeiro a junho</v>
      </c>
      <c r="B2" s="1">
        <v>13072.59</v>
      </c>
      <c r="C2" s="1">
        <v>13072.59</v>
      </c>
      <c r="D2" t="str">
        <v>Planilha do escritório — junho/2026</v>
      </c>
    </row>
    <row r="3">
      <c r="A3" t="str">
        <v>Exclusões acumuladas janeiro a junho</v>
      </c>
      <c r="B3" s="1">
        <v>23650.14</v>
      </c>
      <c r="C3" s="1">
        <v>23650.14</v>
      </c>
      <c r="D3" t="str">
        <v>Planilha do escritório — junho/2026</v>
      </c>
    </row>
    <row r="4">
      <c r="A4" t="str">
        <v>Adições formalmente registradas em julho</v>
      </c>
      <c r="B4" s="1">
        <v>0</v>
      </c>
      <c r="C4" s="1">
        <v>0</v>
      </c>
      <c r="D4" t="str">
        <v>Nenhum ajuste persistido no LALUR de julho</v>
      </c>
    </row>
    <row r="5">
      <c r="A5" t="str">
        <v>Exclusões formalmente registradas em julho</v>
      </c>
      <c r="B5" s="1">
        <v>0</v>
      </c>
      <c r="C5" s="1">
        <v>0</v>
      </c>
      <c r="D5" t="str">
        <v>Nenhum ajuste persistido no LALUR de julho</v>
      </c>
    </row>
    <row r="7">
      <c r="A7" t="str">
        <v>CENÁRIO NÃO REGISTRADO — provisão de custos</v>
      </c>
      <c r="B7" s="1">
        <v>100000</v>
      </c>
      <c r="C7" s="1">
        <v>100000</v>
      </c>
      <c r="D7" t="str">
        <v>Candidato a adição; confirmar tratamento fiscal e documentação</v>
      </c>
    </row>
    <row r="8">
      <c r="A8" t="str">
        <v>CENÁRIO NÃO REGISTRADO — donativo Pequeno Príncipe</v>
      </c>
      <c r="B8" s="1">
        <v>750</v>
      </c>
      <c r="C8" s="1">
        <v>750</v>
      </c>
      <c r="D8" t="str">
        <v>Candidato a adição; confirmar eventual incentivo/limite fiscal</v>
      </c>
    </row>
    <row r="9">
      <c r="A9" t="str">
        <v>Total potencial de adições de julho</v>
      </c>
      <c r="B9" s="1">
        <f>B7+B8</f>
        <v>100750</v>
      </c>
      <c r="C9" s="1">
        <f>C7+C8</f>
        <v>100750</v>
      </c>
      <c r="D9" t="str">
        <v>Não integra a apuração oficial desta planilha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48.83203125" customWidth="1"/>
    <col min="2" max="2" width="20.83203125" customWidth="1"/>
  </cols>
  <sheetData>
    <row r="1">
      <c r="A1" t="str">
        <v>Memória e conferência</v>
      </c>
      <c r="B1" t="str">
        <v>Valor</v>
      </c>
    </row>
    <row r="2">
      <c r="A2" t="str">
        <v>Receita operacional bruta de julho</v>
      </c>
      <c r="B2" s="1">
        <v>4138549.72</v>
      </c>
    </row>
    <row r="3">
      <c r="A3" t="str">
        <v>Deduções da receita de julho</v>
      </c>
      <c r="B3" s="1">
        <v>818691.17</v>
      </c>
    </row>
    <row r="4">
      <c r="A4" t="str">
        <v>Receita líquida de julho</v>
      </c>
      <c r="B4" s="1">
        <v>3319858.55</v>
      </c>
    </row>
    <row r="5">
      <c r="A5" t="str">
        <v>CPV total de julho</v>
      </c>
      <c r="B5" s="1">
        <v>1751614.15</v>
      </c>
    </row>
    <row r="6">
      <c r="A6" t="str">
        <v>Despesas financeiras de julho</v>
      </c>
      <c r="B6" s="1">
        <v>152077.49</v>
      </c>
    </row>
    <row r="7">
      <c r="A7" t="str">
        <v>Receitas financeiras de julho</v>
      </c>
      <c r="B7" s="1">
        <v>37716.99</v>
      </c>
    </row>
    <row r="8">
      <c r="A8" t="str">
        <v>Provisão de custos no resultado</v>
      </c>
      <c r="B8" s="1">
        <v>100000</v>
      </c>
    </row>
    <row r="9">
      <c r="A9" t="str">
        <v>Resultado contábil de julho</v>
      </c>
      <c r="B9" s="1">
        <v>128172.33</v>
      </c>
    </row>
    <row r="10">
      <c r="A10" t="str">
        <v>Variação cambial ativa</v>
      </c>
      <c r="B10" s="1">
        <v>13096.86</v>
      </c>
    </row>
    <row r="11">
      <c r="A11" t="str">
        <v>Variação cambial passiva</v>
      </c>
      <c r="B11" s="1">
        <v>10696.99</v>
      </c>
    </row>
    <row r="12">
      <c r="A12" t="str">
        <v>Efeito cambial líquido positivo</v>
      </c>
      <c r="B12" s="1">
        <v>2399.87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Apuração Jan-Jul</vt:lpstr>
      <vt:lpstr>Adições e Exclusões</vt:lpstr>
      <vt:lpstr>Memória DRE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